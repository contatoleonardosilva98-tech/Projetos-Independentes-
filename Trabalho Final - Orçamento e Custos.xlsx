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éo\Downloads\"/>
    </mc:Choice>
  </mc:AlternateContent>
  <xr:revisionPtr revIDLastSave="0" documentId="13_ncr:1_{D91A7708-E2A4-4C59-8FCB-8338686E760A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Orçamento" sheetId="1" r:id="rId1"/>
  </sheets>
  <definedNames>
    <definedName name="_xlnm.Print_Area" localSheetId="0">Orçamento!$A$1:$J$106</definedName>
  </definedNames>
  <calcPr calcId="181029"/>
</workbook>
</file>

<file path=xl/calcChain.xml><?xml version="1.0" encoding="utf-8"?>
<calcChain xmlns="http://schemas.openxmlformats.org/spreadsheetml/2006/main">
  <c r="C85" i="1" l="1"/>
  <c r="D85" i="1"/>
  <c r="E85" i="1"/>
  <c r="F85" i="1"/>
  <c r="B85" i="1"/>
  <c r="F83" i="1"/>
  <c r="F82" i="1"/>
  <c r="F81" i="1"/>
  <c r="F80" i="1"/>
  <c r="F79" i="1"/>
  <c r="C83" i="1"/>
  <c r="D83" i="1"/>
  <c r="E83" i="1"/>
  <c r="B83" i="1"/>
  <c r="C81" i="1"/>
  <c r="D81" i="1"/>
  <c r="E81" i="1"/>
  <c r="B81" i="1"/>
  <c r="C80" i="1"/>
  <c r="D80" i="1"/>
  <c r="E80" i="1"/>
  <c r="B80" i="1"/>
  <c r="C79" i="1"/>
  <c r="D79" i="1"/>
  <c r="E79" i="1"/>
  <c r="B79" i="1"/>
  <c r="F75" i="1"/>
  <c r="B73" i="1"/>
  <c r="F73" i="1" s="1"/>
  <c r="F74" i="1" s="1"/>
  <c r="F76" i="1" s="1"/>
  <c r="C76" i="1"/>
  <c r="D76" i="1"/>
  <c r="E76" i="1"/>
  <c r="C74" i="1"/>
  <c r="D74" i="1"/>
  <c r="E74" i="1"/>
  <c r="C73" i="1"/>
  <c r="D73" i="1"/>
  <c r="E73" i="1"/>
  <c r="F72" i="1"/>
  <c r="D72" i="1"/>
  <c r="E72" i="1"/>
  <c r="C72" i="1"/>
  <c r="B72" i="1"/>
  <c r="F93" i="1"/>
  <c r="F94" i="1"/>
  <c r="F95" i="1"/>
  <c r="B96" i="1"/>
  <c r="C96" i="1"/>
  <c r="D96" i="1"/>
  <c r="E96" i="1"/>
  <c r="C65" i="1"/>
  <c r="C64" i="1"/>
  <c r="B65" i="1"/>
  <c r="B64" i="1"/>
  <c r="F57" i="1"/>
  <c r="F48" i="1"/>
  <c r="D34" i="1"/>
  <c r="D33" i="1"/>
  <c r="J4" i="1"/>
  <c r="J3" i="1"/>
  <c r="C5" i="1"/>
  <c r="C25" i="1" s="1"/>
  <c r="B24" i="1" s="1"/>
  <c r="D5" i="1"/>
  <c r="E5" i="1"/>
  <c r="E25" i="1" s="1"/>
  <c r="D24" i="1" s="1"/>
  <c r="B5" i="1"/>
  <c r="B25" i="1" s="1"/>
  <c r="C4" i="1"/>
  <c r="C6" i="1" s="1"/>
  <c r="D4" i="1"/>
  <c r="E4" i="1"/>
  <c r="B4" i="1"/>
  <c r="E9" i="1" s="1"/>
  <c r="B74" i="1" l="1"/>
  <c r="B76" i="1" s="1"/>
  <c r="E102" i="1"/>
  <c r="D6" i="1"/>
  <c r="E10" i="1"/>
  <c r="E11" i="1" s="1"/>
  <c r="F96" i="1"/>
  <c r="D102" i="1"/>
  <c r="D9" i="1"/>
  <c r="E24" i="1"/>
  <c r="E27" i="1" s="1"/>
  <c r="E90" i="1" s="1"/>
  <c r="B26" i="1"/>
  <c r="E18" i="1"/>
  <c r="E26" i="1"/>
  <c r="C102" i="1"/>
  <c r="F4" i="1"/>
  <c r="E6" i="1"/>
  <c r="C9" i="1"/>
  <c r="D10" i="1"/>
  <c r="D11" i="1" s="1"/>
  <c r="B18" i="1"/>
  <c r="D25" i="1"/>
  <c r="B102" i="1"/>
  <c r="B9" i="1"/>
  <c r="F5" i="1"/>
  <c r="C10" i="1"/>
  <c r="C18" i="1"/>
  <c r="C26" i="1"/>
  <c r="B6" i="1"/>
  <c r="B10" i="1"/>
  <c r="D18" i="1"/>
  <c r="C11" i="1" l="1"/>
  <c r="F102" i="1"/>
  <c r="D19" i="1"/>
  <c r="C17" i="1"/>
  <c r="F9" i="1"/>
  <c r="B11" i="1"/>
  <c r="E17" i="1"/>
  <c r="F18" i="1"/>
  <c r="B19" i="1"/>
  <c r="F6" i="1"/>
  <c r="D17" i="1"/>
  <c r="D20" i="1" s="1"/>
  <c r="E19" i="1"/>
  <c r="E20" i="1" s="1"/>
  <c r="F10" i="1"/>
  <c r="B17" i="1"/>
  <c r="C19" i="1"/>
  <c r="B27" i="1"/>
  <c r="B90" i="1" s="1"/>
  <c r="C24" i="1"/>
  <c r="F24" i="1" s="1"/>
  <c r="D26" i="1"/>
  <c r="D27" i="1" s="1"/>
  <c r="D90" i="1" s="1"/>
  <c r="F25" i="1"/>
  <c r="C20" i="1" l="1"/>
  <c r="F17" i="1"/>
  <c r="F26" i="1"/>
  <c r="F11" i="1"/>
  <c r="E38" i="1"/>
  <c r="E89" i="1"/>
  <c r="E91" i="1" s="1"/>
  <c r="E97" i="1" s="1"/>
  <c r="E37" i="1"/>
  <c r="D38" i="1"/>
  <c r="D89" i="1"/>
  <c r="D91" i="1" s="1"/>
  <c r="D97" i="1" s="1"/>
  <c r="D37" i="1"/>
  <c r="C89" i="1"/>
  <c r="F65" i="1"/>
  <c r="F64" i="1"/>
  <c r="F19" i="1"/>
  <c r="F27" i="1"/>
  <c r="B20" i="1"/>
  <c r="C27" i="1"/>
  <c r="C90" i="1" s="1"/>
  <c r="F90" i="1" s="1"/>
  <c r="F66" i="1" l="1"/>
  <c r="C37" i="1"/>
  <c r="C46" i="1" s="1"/>
  <c r="C91" i="1"/>
  <c r="C97" i="1" s="1"/>
  <c r="C38" i="1"/>
  <c r="C53" i="1" s="1"/>
  <c r="B45" i="1"/>
  <c r="D45" i="1"/>
  <c r="E46" i="1"/>
  <c r="D44" i="1"/>
  <c r="C45" i="1"/>
  <c r="D46" i="1"/>
  <c r="C44" i="1"/>
  <c r="B89" i="1"/>
  <c r="E65" i="1"/>
  <c r="E64" i="1"/>
  <c r="B38" i="1"/>
  <c r="F20" i="1"/>
  <c r="B37" i="1"/>
  <c r="E55" i="1"/>
  <c r="D54" i="1"/>
  <c r="E53" i="1"/>
  <c r="D53" i="1"/>
  <c r="D55" i="1"/>
  <c r="C54" i="1"/>
  <c r="B54" i="1" l="1"/>
  <c r="B44" i="1"/>
  <c r="C55" i="1"/>
  <c r="E44" i="1"/>
  <c r="F44" i="1" s="1"/>
  <c r="B46" i="1"/>
  <c r="F46" i="1" s="1"/>
  <c r="F37" i="1"/>
  <c r="I44" i="1"/>
  <c r="F89" i="1"/>
  <c r="F91" i="1" s="1"/>
  <c r="F97" i="1" s="1"/>
  <c r="B105" i="1" s="1"/>
  <c r="B91" i="1"/>
  <c r="B97" i="1" s="1"/>
  <c r="B55" i="1"/>
  <c r="E54" i="1"/>
  <c r="B53" i="1"/>
  <c r="F53" i="1" s="1"/>
  <c r="F38" i="1"/>
  <c r="F54" i="1"/>
  <c r="E66" i="1"/>
  <c r="B104" i="1" s="1"/>
  <c r="F55" i="1" l="1"/>
  <c r="E45" i="1"/>
  <c r="F45" i="1" s="1"/>
  <c r="B103" i="1"/>
  <c r="B56" i="1"/>
  <c r="D47" i="1"/>
  <c r="D49" i="1" s="1"/>
  <c r="C56" i="1"/>
  <c r="C58" i="1" s="1"/>
  <c r="B47" i="1"/>
  <c r="E47" i="1"/>
  <c r="E49" i="1" s="1"/>
  <c r="E59" i="1" s="1"/>
  <c r="E98" i="1" s="1"/>
  <c r="D56" i="1"/>
  <c r="D58" i="1" s="1"/>
  <c r="C47" i="1"/>
  <c r="C49" i="1" s="1"/>
  <c r="C59" i="1" s="1"/>
  <c r="C98" i="1" s="1"/>
  <c r="E56" i="1"/>
  <c r="E58" i="1" s="1"/>
  <c r="D59" i="1" l="1"/>
  <c r="D98" i="1" s="1"/>
  <c r="B58" i="1"/>
  <c r="F58" i="1" s="1"/>
  <c r="F56" i="1"/>
  <c r="F47" i="1"/>
  <c r="B49" i="1"/>
  <c r="B59" i="1" l="1"/>
  <c r="B98" i="1" s="1"/>
  <c r="F98" i="1" s="1"/>
  <c r="B106" i="1" s="1"/>
  <c r="F49" i="1"/>
  <c r="F59" i="1" s="1"/>
</calcChain>
</file>

<file path=xl/sharedStrings.xml><?xml version="1.0" encoding="utf-8"?>
<sst xmlns="http://schemas.openxmlformats.org/spreadsheetml/2006/main" count="154" uniqueCount="78">
  <si>
    <t>1. ORÇAMENTO DE VENDAS</t>
  </si>
  <si>
    <t>Produto</t>
  </si>
  <si>
    <t>1º Trimestre</t>
  </si>
  <si>
    <t>2º Trimestre</t>
  </si>
  <si>
    <t>3º Trimestre</t>
  </si>
  <si>
    <t>4º Trimestre</t>
  </si>
  <si>
    <t>Total</t>
  </si>
  <si>
    <t>A</t>
  </si>
  <si>
    <t>B</t>
  </si>
  <si>
    <t>Receita Total</t>
  </si>
  <si>
    <t>2. ORÇAMENTO DE PRODUÇÃO</t>
  </si>
  <si>
    <t>Produto A</t>
  </si>
  <si>
    <t>Estoque Final</t>
  </si>
  <si>
    <t>(+) Vendas</t>
  </si>
  <si>
    <t>(-) Estoque Inicial</t>
  </si>
  <si>
    <t>(=) Produção Necessária</t>
  </si>
  <si>
    <t>Produto B</t>
  </si>
  <si>
    <t>Orçamento de Consumo de Matéria-prima</t>
  </si>
  <si>
    <t>Matéria-prima</t>
  </si>
  <si>
    <t>Custo Unitário</t>
  </si>
  <si>
    <t>X</t>
  </si>
  <si>
    <t>Y</t>
  </si>
  <si>
    <t>Unidades Consumidas</t>
  </si>
  <si>
    <t>1º Tri</t>
  </si>
  <si>
    <t>2º Tri</t>
  </si>
  <si>
    <t>3º Tri</t>
  </si>
  <si>
    <t>4º Tri</t>
  </si>
  <si>
    <t>Orçamento de Compras de Matéria-Prima</t>
  </si>
  <si>
    <t>Matéria-prima X</t>
  </si>
  <si>
    <t>(+) Consumo de matéria-prima</t>
  </si>
  <si>
    <t>(=) Compras unid</t>
  </si>
  <si>
    <t>Compras R$</t>
  </si>
  <si>
    <t>Matéria-prima Y</t>
  </si>
  <si>
    <t>Consumo Total MP (R$)</t>
  </si>
  <si>
    <t>Orçamento de Mão de Obra Direta (MOD)</t>
  </si>
  <si>
    <t>Departamento</t>
  </si>
  <si>
    <t>Tempo A</t>
  </si>
  <si>
    <t>Tempo B</t>
  </si>
  <si>
    <t>Salário Hora</t>
  </si>
  <si>
    <t>MOD A</t>
  </si>
  <si>
    <t>MOD B</t>
  </si>
  <si>
    <t>Fase 1</t>
  </si>
  <si>
    <t>Fase 2</t>
  </si>
  <si>
    <t>Orçamento de Custo Indireto de Fabricação (CIF)</t>
  </si>
  <si>
    <t>Custo Variável</t>
  </si>
  <si>
    <t>TOTAL CV</t>
  </si>
  <si>
    <t>Custo Fixo - Dados</t>
  </si>
  <si>
    <t>Depreciação</t>
  </si>
  <si>
    <t>Taxas e Seguros</t>
  </si>
  <si>
    <t>Salário dos supervisores</t>
  </si>
  <si>
    <t>Custo Indireto de Fabricação CIF</t>
  </si>
  <si>
    <t>Resultado Parcial</t>
  </si>
  <si>
    <t>UNIDADES</t>
  </si>
  <si>
    <t>Vendas (R$)</t>
  </si>
  <si>
    <t>Quatidades - Unidades</t>
  </si>
  <si>
    <t>Consumo por Unidade</t>
  </si>
  <si>
    <t>Custo</t>
  </si>
  <si>
    <t>Unitário</t>
  </si>
  <si>
    <t>Compras (R$)</t>
  </si>
  <si>
    <t>PV (A)</t>
  </si>
  <si>
    <t>PV (B)</t>
  </si>
  <si>
    <t>Necessidade Total</t>
  </si>
  <si>
    <t>Custo Unitario (A)</t>
  </si>
  <si>
    <t>Custo Unitario (B)</t>
  </si>
  <si>
    <t>1° Tri</t>
  </si>
  <si>
    <t>2° Tri</t>
  </si>
  <si>
    <t>3° Tri</t>
  </si>
  <si>
    <t>4° Tri</t>
  </si>
  <si>
    <t>Consumo de Materia Prima</t>
  </si>
  <si>
    <t>Custo de Mão de Obra</t>
  </si>
  <si>
    <t>Custo Indireto</t>
  </si>
  <si>
    <t>Lucro</t>
  </si>
  <si>
    <t>Tempo Homem/h e Custo R$</t>
  </si>
  <si>
    <t>Dep. Fase 1</t>
  </si>
  <si>
    <t>Total horas</t>
  </si>
  <si>
    <t>Custo MOD (R$)</t>
  </si>
  <si>
    <t>Dep. Fase 2</t>
  </si>
  <si>
    <t>Custo Total 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</si>
</sst>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2E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5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6"/>
  <sheetViews>
    <sheetView tabSelected="1" view="pageBreakPreview" topLeftCell="A52" zoomScale="60" zoomScaleNormal="100" workbookViewId="0">
      <selection activeCell="I79" sqref="I79"/>
    </sheetView>
  </sheetViews>
  <sheetFormatPr defaultRowHeight="15" x14ac:dyDescent="0.25"/>
  <cols>
    <col min="1" max="1" width="46.5703125" bestFit="1" customWidth="1"/>
    <col min="2" max="2" width="23.42578125" bestFit="1" customWidth="1"/>
    <col min="3" max="3" width="23" bestFit="1" customWidth="1"/>
    <col min="4" max="5" width="23.42578125" bestFit="1" customWidth="1"/>
    <col min="6" max="6" width="25.140625" bestFit="1" customWidth="1"/>
    <col min="8" max="8" width="19.7109375" customWidth="1"/>
    <col min="9" max="9" width="19.5703125" customWidth="1"/>
    <col min="10" max="10" width="11.5703125" bestFit="1" customWidth="1"/>
  </cols>
  <sheetData>
    <row r="1" spans="1:12" ht="15.75" x14ac:dyDescent="0.25">
      <c r="A1" s="27" t="s">
        <v>0</v>
      </c>
      <c r="B1" s="28"/>
      <c r="C1" s="28"/>
      <c r="D1" s="28"/>
      <c r="E1" s="28"/>
      <c r="F1" s="28"/>
      <c r="G1" s="1"/>
      <c r="H1" s="1"/>
      <c r="I1" s="1"/>
      <c r="J1" s="1"/>
      <c r="K1" s="1"/>
      <c r="L1" s="1"/>
    </row>
    <row r="2" spans="1:12" ht="15.75" x14ac:dyDescent="0.25">
      <c r="A2" s="35" t="s">
        <v>54</v>
      </c>
      <c r="B2" s="35"/>
      <c r="C2" s="35"/>
      <c r="D2" s="35"/>
      <c r="E2" s="35"/>
      <c r="F2" s="35"/>
      <c r="G2" s="1"/>
      <c r="H2" s="1"/>
      <c r="I2" s="1"/>
      <c r="J2" s="1"/>
      <c r="K2" s="1"/>
      <c r="L2" s="1"/>
    </row>
    <row r="3" spans="1:12" ht="15.7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3" t="s">
        <v>59</v>
      </c>
      <c r="J3" s="4">
        <f>20*(1+0.5)</f>
        <v>30</v>
      </c>
      <c r="K3" s="1"/>
      <c r="L3" s="1"/>
    </row>
    <row r="4" spans="1:12" ht="15.75" x14ac:dyDescent="0.25">
      <c r="A4" s="5" t="s">
        <v>7</v>
      </c>
      <c r="B4" s="6">
        <f>1000/4</f>
        <v>250</v>
      </c>
      <c r="C4" s="6">
        <f t="shared" ref="C4:E4" si="0">1000/4</f>
        <v>250</v>
      </c>
      <c r="D4" s="6">
        <f t="shared" si="0"/>
        <v>250</v>
      </c>
      <c r="E4" s="6">
        <f t="shared" si="0"/>
        <v>250</v>
      </c>
      <c r="F4" s="6">
        <f>SUM(B4:E4)</f>
        <v>1000</v>
      </c>
      <c r="G4" s="1"/>
      <c r="H4" s="1"/>
      <c r="I4" s="7" t="s">
        <v>60</v>
      </c>
      <c r="J4" s="4">
        <f>20*(1+0.45)</f>
        <v>29</v>
      </c>
      <c r="K4" s="1"/>
      <c r="L4" s="1"/>
    </row>
    <row r="5" spans="1:12" ht="15.75" x14ac:dyDescent="0.25">
      <c r="A5" s="5" t="s">
        <v>8</v>
      </c>
      <c r="B5" s="6">
        <f>1250/4</f>
        <v>312.5</v>
      </c>
      <c r="C5" s="6">
        <f t="shared" ref="C5:E5" si="1">1250/4</f>
        <v>312.5</v>
      </c>
      <c r="D5" s="6">
        <f t="shared" si="1"/>
        <v>312.5</v>
      </c>
      <c r="E5" s="6">
        <f t="shared" si="1"/>
        <v>312.5</v>
      </c>
      <c r="F5" s="6">
        <f>SUM(B5:E5)</f>
        <v>1250</v>
      </c>
      <c r="G5" s="1"/>
      <c r="H5" s="1"/>
      <c r="I5" s="7" t="s">
        <v>62</v>
      </c>
      <c r="J5" s="4">
        <v>20</v>
      </c>
      <c r="K5" s="1"/>
      <c r="L5" s="1"/>
    </row>
    <row r="6" spans="1:12" ht="15.75" x14ac:dyDescent="0.25">
      <c r="A6" s="5" t="s">
        <v>6</v>
      </c>
      <c r="B6" s="8">
        <f>SUM(B4:B5)</f>
        <v>562.5</v>
      </c>
      <c r="C6" s="8">
        <f t="shared" ref="C6:F6" si="2">SUM(C4:C5)</f>
        <v>562.5</v>
      </c>
      <c r="D6" s="8">
        <f t="shared" si="2"/>
        <v>562.5</v>
      </c>
      <c r="E6" s="8">
        <f t="shared" si="2"/>
        <v>562.5</v>
      </c>
      <c r="F6" s="8">
        <f t="shared" si="2"/>
        <v>2250</v>
      </c>
      <c r="G6" s="1"/>
      <c r="H6" s="1"/>
      <c r="I6" s="7" t="s">
        <v>63</v>
      </c>
      <c r="J6" s="4">
        <v>20</v>
      </c>
      <c r="K6" s="1"/>
      <c r="L6" s="1"/>
    </row>
    <row r="7" spans="1:12" ht="15.75" x14ac:dyDescent="0.25">
      <c r="A7" s="36" t="s">
        <v>1</v>
      </c>
      <c r="B7" s="38" t="s">
        <v>53</v>
      </c>
      <c r="C7" s="38"/>
      <c r="D7" s="38"/>
      <c r="E7" s="38"/>
      <c r="F7" s="38"/>
      <c r="G7" s="1"/>
      <c r="H7" s="1"/>
      <c r="I7" s="1"/>
      <c r="J7" s="1"/>
      <c r="K7" s="1"/>
      <c r="L7" s="1"/>
    </row>
    <row r="8" spans="1:12" ht="15.75" x14ac:dyDescent="0.25">
      <c r="A8" s="37"/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1"/>
      <c r="H8" s="1"/>
      <c r="I8" s="1"/>
      <c r="J8" s="1"/>
      <c r="K8" s="1"/>
      <c r="L8" s="1"/>
    </row>
    <row r="9" spans="1:12" ht="15.75" x14ac:dyDescent="0.25">
      <c r="A9" s="5" t="s">
        <v>7</v>
      </c>
      <c r="B9" s="9">
        <f>$B$4*$J$3</f>
        <v>7500</v>
      </c>
      <c r="C9" s="9">
        <f t="shared" ref="C9:E9" si="3">$B$4*$J$3</f>
        <v>7500</v>
      </c>
      <c r="D9" s="9">
        <f t="shared" si="3"/>
        <v>7500</v>
      </c>
      <c r="E9" s="9">
        <f t="shared" si="3"/>
        <v>7500</v>
      </c>
      <c r="F9" s="9">
        <f>SUM(B9:E9)</f>
        <v>30000</v>
      </c>
      <c r="G9" s="1"/>
      <c r="H9" s="1"/>
      <c r="I9" s="1"/>
      <c r="J9" s="1"/>
      <c r="K9" s="1"/>
      <c r="L9" s="1"/>
    </row>
    <row r="10" spans="1:12" ht="15.75" x14ac:dyDescent="0.25">
      <c r="A10" s="5" t="s">
        <v>8</v>
      </c>
      <c r="B10" s="9">
        <f>$B$5*$J$4</f>
        <v>9062.5</v>
      </c>
      <c r="C10" s="9">
        <f t="shared" ref="C10:E10" si="4">$B$5*$J$4</f>
        <v>9062.5</v>
      </c>
      <c r="D10" s="9">
        <f t="shared" si="4"/>
        <v>9062.5</v>
      </c>
      <c r="E10" s="9">
        <f t="shared" si="4"/>
        <v>9062.5</v>
      </c>
      <c r="F10" s="9">
        <f>SUM(B10:E10)</f>
        <v>36250</v>
      </c>
      <c r="G10" s="1"/>
      <c r="H10" s="1"/>
      <c r="I10" s="1"/>
      <c r="J10" s="1"/>
      <c r="K10" s="1"/>
      <c r="L10" s="1"/>
    </row>
    <row r="11" spans="1:12" ht="15.75" x14ac:dyDescent="0.25">
      <c r="A11" s="10" t="s">
        <v>9</v>
      </c>
      <c r="B11" s="11">
        <f>SUM(B9:B10)</f>
        <v>16562.5</v>
      </c>
      <c r="C11" s="11">
        <f t="shared" ref="C11:F11" si="5">SUM(C9:C10)</f>
        <v>16562.5</v>
      </c>
      <c r="D11" s="11">
        <f t="shared" si="5"/>
        <v>16562.5</v>
      </c>
      <c r="E11" s="11">
        <f t="shared" si="5"/>
        <v>16562.5</v>
      </c>
      <c r="F11" s="11">
        <f t="shared" si="5"/>
        <v>66250</v>
      </c>
      <c r="G11" s="1"/>
      <c r="H11" s="1"/>
      <c r="I11" s="1"/>
      <c r="J11" s="1"/>
      <c r="K11" s="1"/>
      <c r="L11" s="1"/>
    </row>
    <row r="12" spans="1:12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.75" x14ac:dyDescent="0.25">
      <c r="A14" s="27" t="s">
        <v>10</v>
      </c>
      <c r="B14" s="28"/>
      <c r="C14" s="28"/>
      <c r="D14" s="28"/>
      <c r="E14" s="28"/>
      <c r="F14" s="28"/>
      <c r="G14" s="1"/>
      <c r="H14" s="1"/>
      <c r="I14" s="1"/>
      <c r="J14" s="1"/>
      <c r="K14" s="1"/>
      <c r="L14" s="1"/>
    </row>
    <row r="15" spans="1:12" ht="15.75" x14ac:dyDescent="0.25">
      <c r="A15" s="35" t="s">
        <v>52</v>
      </c>
      <c r="B15" s="35"/>
      <c r="C15" s="35"/>
      <c r="D15" s="35"/>
      <c r="E15" s="35"/>
      <c r="F15" s="35"/>
      <c r="G15" s="1"/>
      <c r="H15" s="1"/>
      <c r="I15" s="1"/>
      <c r="J15" s="1"/>
      <c r="K15" s="1"/>
      <c r="L15" s="1"/>
    </row>
    <row r="16" spans="1:12" ht="15.75" x14ac:dyDescent="0.25">
      <c r="A16" s="2" t="s">
        <v>11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1"/>
      <c r="H16" s="1"/>
      <c r="I16" s="1"/>
      <c r="J16" s="1"/>
      <c r="K16" s="1"/>
      <c r="L16" s="1"/>
    </row>
    <row r="17" spans="1:12" ht="15.75" x14ac:dyDescent="0.25">
      <c r="A17" s="5" t="s">
        <v>12</v>
      </c>
      <c r="B17" s="6">
        <f>C18*0.5</f>
        <v>125</v>
      </c>
      <c r="C17" s="6">
        <f>D18*0.5</f>
        <v>125</v>
      </c>
      <c r="D17" s="6">
        <f t="shared" ref="D17" si="6">E18*0.5</f>
        <v>125</v>
      </c>
      <c r="E17" s="6">
        <f>B18*0.5</f>
        <v>125</v>
      </c>
      <c r="F17" s="6">
        <f>SUM(B17:E17)</f>
        <v>500</v>
      </c>
      <c r="G17" s="1"/>
      <c r="H17" s="1"/>
      <c r="I17" s="1"/>
      <c r="J17" s="1"/>
      <c r="K17" s="1"/>
      <c r="L17" s="1"/>
    </row>
    <row r="18" spans="1:12" ht="15.75" x14ac:dyDescent="0.25">
      <c r="A18" s="5" t="s">
        <v>13</v>
      </c>
      <c r="B18" s="6">
        <f>B4</f>
        <v>250</v>
      </c>
      <c r="C18" s="6">
        <f>C4</f>
        <v>250</v>
      </c>
      <c r="D18" s="6">
        <f>D4</f>
        <v>250</v>
      </c>
      <c r="E18" s="6">
        <f>E4</f>
        <v>250</v>
      </c>
      <c r="F18" s="6">
        <f>SUM(B18:E18)</f>
        <v>1000</v>
      </c>
      <c r="G18" s="1"/>
      <c r="H18" s="1"/>
      <c r="I18" s="1"/>
      <c r="J18" s="1"/>
      <c r="K18" s="1"/>
      <c r="L18" s="1"/>
    </row>
    <row r="19" spans="1:12" ht="15.75" x14ac:dyDescent="0.25">
      <c r="A19" s="5" t="s">
        <v>14</v>
      </c>
      <c r="B19" s="6">
        <f>B18*0.5</f>
        <v>125</v>
      </c>
      <c r="C19" s="6">
        <f t="shared" ref="C19:E19" si="7">C18*0.5</f>
        <v>125</v>
      </c>
      <c r="D19" s="6">
        <f t="shared" si="7"/>
        <v>125</v>
      </c>
      <c r="E19" s="6">
        <f t="shared" si="7"/>
        <v>125</v>
      </c>
      <c r="F19" s="6">
        <f t="shared" ref="F19:F20" si="8">SUM(B19:E19)</f>
        <v>500</v>
      </c>
      <c r="G19" s="1"/>
      <c r="H19" s="1"/>
      <c r="I19" s="1"/>
      <c r="J19" s="1"/>
      <c r="K19" s="1"/>
      <c r="L19" s="1"/>
    </row>
    <row r="20" spans="1:12" ht="15.75" x14ac:dyDescent="0.25">
      <c r="A20" s="12" t="s">
        <v>15</v>
      </c>
      <c r="B20" s="13">
        <f>B18+B19-B17</f>
        <v>250</v>
      </c>
      <c r="C20" s="13">
        <f t="shared" ref="C20:D20" si="9">C18+C19-C17</f>
        <v>250</v>
      </c>
      <c r="D20" s="13">
        <f t="shared" si="9"/>
        <v>250</v>
      </c>
      <c r="E20" s="13">
        <f>E18+E19-E17</f>
        <v>250</v>
      </c>
      <c r="F20" s="6">
        <f t="shared" si="8"/>
        <v>1000</v>
      </c>
      <c r="G20" s="1"/>
      <c r="H20" s="1"/>
      <c r="I20" s="1"/>
      <c r="J20" s="1"/>
      <c r="K20" s="1"/>
      <c r="L20" s="1"/>
    </row>
    <row r="21" spans="1:12" ht="15.75" x14ac:dyDescent="0.25">
      <c r="A21" s="39" t="s">
        <v>52</v>
      </c>
      <c r="B21" s="39"/>
      <c r="C21" s="39"/>
      <c r="D21" s="39"/>
      <c r="E21" s="39"/>
      <c r="F21" s="39"/>
      <c r="G21" s="1"/>
      <c r="H21" s="1"/>
      <c r="I21" s="1"/>
      <c r="J21" s="1"/>
      <c r="K21" s="1"/>
      <c r="L21" s="1"/>
    </row>
    <row r="22" spans="1:12" ht="15.75" x14ac:dyDescent="0.25">
      <c r="A22" s="31" t="s">
        <v>16</v>
      </c>
      <c r="B22" s="32"/>
      <c r="C22" s="32"/>
      <c r="D22" s="32"/>
      <c r="E22" s="32"/>
      <c r="F22" s="32"/>
      <c r="G22" s="1"/>
      <c r="H22" s="1"/>
      <c r="I22" s="1"/>
      <c r="J22" s="1"/>
      <c r="K22" s="1"/>
      <c r="L22" s="1"/>
    </row>
    <row r="23" spans="1:12" ht="15.75" x14ac:dyDescent="0.25">
      <c r="A23" s="2"/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1"/>
      <c r="H23" s="1"/>
      <c r="I23" s="1"/>
      <c r="J23" s="1"/>
      <c r="K23" s="1"/>
      <c r="L23" s="1"/>
    </row>
    <row r="24" spans="1:12" ht="15.75" x14ac:dyDescent="0.25">
      <c r="A24" s="5" t="s">
        <v>12</v>
      </c>
      <c r="B24" s="6">
        <f>C25*0.5</f>
        <v>156.25</v>
      </c>
      <c r="C24" s="6">
        <f t="shared" ref="C24:D24" si="10">D25*0.5</f>
        <v>156.25</v>
      </c>
      <c r="D24" s="6">
        <f t="shared" si="10"/>
        <v>156.25</v>
      </c>
      <c r="E24" s="6">
        <f>B25*0.5</f>
        <v>156.25</v>
      </c>
      <c r="F24" s="6">
        <f>SUM(B24:E24)</f>
        <v>625</v>
      </c>
      <c r="G24" s="1"/>
      <c r="H24" s="1"/>
      <c r="I24" s="1"/>
      <c r="J24" s="1"/>
      <c r="K24" s="1"/>
      <c r="L24" s="1"/>
    </row>
    <row r="25" spans="1:12" ht="15.75" x14ac:dyDescent="0.25">
      <c r="A25" s="5" t="s">
        <v>13</v>
      </c>
      <c r="B25" s="6">
        <f>B5</f>
        <v>312.5</v>
      </c>
      <c r="C25" s="6">
        <f t="shared" ref="C25:E25" si="11">C5</f>
        <v>312.5</v>
      </c>
      <c r="D25" s="6">
        <f t="shared" si="11"/>
        <v>312.5</v>
      </c>
      <c r="E25" s="6">
        <f t="shared" si="11"/>
        <v>312.5</v>
      </c>
      <c r="F25" s="6">
        <f t="shared" ref="F25:F26" si="12">SUM(B25:E25)</f>
        <v>1250</v>
      </c>
      <c r="G25" s="1"/>
      <c r="H25" s="1"/>
      <c r="I25" s="1"/>
      <c r="J25" s="1"/>
      <c r="K25" s="1"/>
      <c r="L25" s="1"/>
    </row>
    <row r="26" spans="1:12" ht="15.75" x14ac:dyDescent="0.25">
      <c r="A26" s="5" t="s">
        <v>14</v>
      </c>
      <c r="B26" s="6">
        <f>B25*0.5</f>
        <v>156.25</v>
      </c>
      <c r="C26" s="6">
        <f t="shared" ref="C26:E26" si="13">C25*0.5</f>
        <v>156.25</v>
      </c>
      <c r="D26" s="6">
        <f t="shared" si="13"/>
        <v>156.25</v>
      </c>
      <c r="E26" s="6">
        <f t="shared" si="13"/>
        <v>156.25</v>
      </c>
      <c r="F26" s="6">
        <f t="shared" si="12"/>
        <v>625</v>
      </c>
      <c r="G26" s="1"/>
      <c r="H26" s="1"/>
      <c r="I26" s="1"/>
      <c r="J26" s="1"/>
      <c r="K26" s="1"/>
      <c r="L26" s="1"/>
    </row>
    <row r="27" spans="1:12" ht="15.75" x14ac:dyDescent="0.25">
      <c r="A27" s="12" t="s">
        <v>15</v>
      </c>
      <c r="B27" s="13">
        <f>B25+B26-B24</f>
        <v>312.5</v>
      </c>
      <c r="C27" s="13">
        <f t="shared" ref="C27:E27" si="14">C25+C26-C24</f>
        <v>312.5</v>
      </c>
      <c r="D27" s="13">
        <f t="shared" si="14"/>
        <v>312.5</v>
      </c>
      <c r="E27" s="13">
        <f t="shared" si="14"/>
        <v>312.5</v>
      </c>
      <c r="F27" s="13">
        <f>F25+F26-F24</f>
        <v>1250</v>
      </c>
      <c r="G27" s="1"/>
      <c r="H27" s="1"/>
      <c r="I27" s="1"/>
      <c r="J27" s="1"/>
      <c r="K27" s="1"/>
      <c r="L27" s="1"/>
    </row>
    <row r="28" spans="1:12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75" x14ac:dyDescent="0.25">
      <c r="A29" s="29" t="s">
        <v>17</v>
      </c>
      <c r="B29" s="30"/>
      <c r="C29" s="30"/>
      <c r="D29" s="30"/>
      <c r="E29" s="30"/>
      <c r="F29" s="30"/>
      <c r="G29" s="1"/>
      <c r="H29" s="1"/>
      <c r="I29" s="1"/>
      <c r="J29" s="1"/>
      <c r="K29" s="1"/>
      <c r="L29" s="1"/>
    </row>
    <row r="30" spans="1:12" ht="15.75" x14ac:dyDescent="0.25">
      <c r="A30" s="1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.75" x14ac:dyDescent="0.25">
      <c r="A31" s="1"/>
      <c r="B31" s="40" t="s">
        <v>55</v>
      </c>
      <c r="C31" s="41"/>
      <c r="D31" s="3" t="s">
        <v>56</v>
      </c>
      <c r="E31" s="16"/>
      <c r="F31" s="16"/>
      <c r="G31" s="1"/>
      <c r="H31" s="1"/>
      <c r="I31" s="1"/>
      <c r="J31" s="1"/>
      <c r="K31" s="1"/>
      <c r="L31" s="1"/>
    </row>
    <row r="32" spans="1:12" ht="15.75" x14ac:dyDescent="0.25">
      <c r="A32" s="2" t="s">
        <v>18</v>
      </c>
      <c r="B32" s="17" t="s">
        <v>7</v>
      </c>
      <c r="C32" s="17" t="s">
        <v>8</v>
      </c>
      <c r="D32" s="17" t="s">
        <v>57</v>
      </c>
      <c r="E32" s="18"/>
      <c r="F32" s="18"/>
      <c r="G32" s="1"/>
      <c r="H32" s="1"/>
      <c r="I32" s="1"/>
      <c r="J32" s="1"/>
      <c r="K32" s="1"/>
      <c r="L32" s="1"/>
    </row>
    <row r="33" spans="1:12" ht="15.75" x14ac:dyDescent="0.25">
      <c r="A33" s="5" t="s">
        <v>20</v>
      </c>
      <c r="B33" s="6">
        <v>12</v>
      </c>
      <c r="C33" s="6">
        <v>15</v>
      </c>
      <c r="D33" s="6">
        <f>SUM(B33:C33)/2</f>
        <v>13.5</v>
      </c>
      <c r="E33" s="18"/>
      <c r="F33" s="18"/>
      <c r="G33" s="1"/>
      <c r="H33" s="1"/>
      <c r="I33" s="1"/>
      <c r="J33" s="1"/>
      <c r="K33" s="1"/>
      <c r="L33" s="1"/>
    </row>
    <row r="34" spans="1:12" ht="15.75" x14ac:dyDescent="0.25">
      <c r="A34" s="22" t="s">
        <v>21</v>
      </c>
      <c r="B34" s="23">
        <v>8</v>
      </c>
      <c r="C34" s="23">
        <v>10</v>
      </c>
      <c r="D34" s="24">
        <f>SUM(B34:C34)/2</f>
        <v>9</v>
      </c>
      <c r="E34" s="1"/>
      <c r="F34" s="1"/>
      <c r="G34" s="1"/>
      <c r="H34" s="1"/>
      <c r="I34" s="1"/>
      <c r="J34" s="1"/>
      <c r="K34" s="1"/>
      <c r="L34" s="1"/>
    </row>
    <row r="35" spans="1:12" ht="15.75" x14ac:dyDescent="0.25">
      <c r="A35" s="33" t="s">
        <v>22</v>
      </c>
      <c r="B35" s="34"/>
      <c r="C35" s="34"/>
      <c r="D35" s="34"/>
      <c r="E35" s="34"/>
      <c r="F35" s="34"/>
      <c r="G35" s="1"/>
      <c r="H35" s="1"/>
      <c r="I35" s="1"/>
      <c r="J35" s="1"/>
      <c r="K35" s="1"/>
      <c r="L35" s="1"/>
    </row>
    <row r="36" spans="1:12" ht="15.75" x14ac:dyDescent="0.25">
      <c r="A36" s="2" t="s">
        <v>18</v>
      </c>
      <c r="B36" s="3" t="s">
        <v>23</v>
      </c>
      <c r="C36" s="3" t="s">
        <v>24</v>
      </c>
      <c r="D36" s="3" t="s">
        <v>25</v>
      </c>
      <c r="E36" s="3" t="s">
        <v>26</v>
      </c>
      <c r="F36" s="3" t="s">
        <v>6</v>
      </c>
      <c r="G36" s="1"/>
      <c r="H36" s="1"/>
      <c r="I36" s="1"/>
      <c r="J36" s="1"/>
      <c r="K36" s="1"/>
      <c r="L36" s="1"/>
    </row>
    <row r="37" spans="1:12" ht="15.75" x14ac:dyDescent="0.25">
      <c r="A37" s="5" t="s">
        <v>20</v>
      </c>
      <c r="B37" s="6">
        <f>B20*$C$33 + B27*$D$33</f>
        <v>7968.75</v>
      </c>
      <c r="C37" s="6">
        <f t="shared" ref="C37:E37" si="15">C20*$C$33 + C27*$D$33</f>
        <v>7968.75</v>
      </c>
      <c r="D37" s="6">
        <f t="shared" si="15"/>
        <v>7968.75</v>
      </c>
      <c r="E37" s="6">
        <f t="shared" si="15"/>
        <v>7968.75</v>
      </c>
      <c r="F37" s="6">
        <f>SUM(B37:E37)</f>
        <v>31875</v>
      </c>
      <c r="G37" s="1"/>
      <c r="H37" s="1"/>
      <c r="I37" s="1"/>
      <c r="J37" s="1"/>
      <c r="K37" s="1"/>
      <c r="L37" s="1"/>
    </row>
    <row r="38" spans="1:12" ht="15.75" x14ac:dyDescent="0.25">
      <c r="A38" s="5" t="s">
        <v>21</v>
      </c>
      <c r="B38" s="6">
        <f>B20*$B$34+B27*$C$34</f>
        <v>5125</v>
      </c>
      <c r="C38" s="6">
        <f t="shared" ref="C38:E38" si="16">C20*$B$34+C27*$C$34</f>
        <v>5125</v>
      </c>
      <c r="D38" s="6">
        <f t="shared" si="16"/>
        <v>5125</v>
      </c>
      <c r="E38" s="6">
        <f t="shared" si="16"/>
        <v>5125</v>
      </c>
      <c r="F38" s="6">
        <f>SUM(B38:E38)</f>
        <v>20500</v>
      </c>
      <c r="G38" s="1"/>
      <c r="H38" s="1"/>
      <c r="I38" s="1"/>
      <c r="J38" s="1"/>
      <c r="K38" s="1"/>
      <c r="L38" s="1"/>
    </row>
    <row r="39" spans="1:12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75" x14ac:dyDescent="0.25">
      <c r="A41" s="29" t="s">
        <v>27</v>
      </c>
      <c r="B41" s="30"/>
      <c r="C41" s="30"/>
      <c r="D41" s="30"/>
      <c r="E41" s="30"/>
      <c r="F41" s="30"/>
      <c r="G41" s="1"/>
      <c r="H41" s="1"/>
      <c r="I41" s="1"/>
      <c r="J41" s="1"/>
      <c r="K41" s="1"/>
      <c r="L41" s="1"/>
    </row>
    <row r="42" spans="1:12" ht="15.75" x14ac:dyDescent="0.25">
      <c r="A42" s="29"/>
      <c r="B42" s="30"/>
      <c r="C42" s="30"/>
      <c r="D42" s="30"/>
      <c r="E42" s="30"/>
      <c r="F42" s="30"/>
      <c r="G42" s="1"/>
      <c r="H42" s="1"/>
      <c r="I42" s="1"/>
      <c r="J42" s="1"/>
      <c r="K42" s="1"/>
      <c r="L42" s="1"/>
    </row>
    <row r="43" spans="1:12" ht="15.75" x14ac:dyDescent="0.25">
      <c r="A43" s="2" t="s">
        <v>28</v>
      </c>
      <c r="B43" s="3" t="s">
        <v>2</v>
      </c>
      <c r="C43" s="3" t="s">
        <v>3</v>
      </c>
      <c r="D43" s="3" t="s">
        <v>4</v>
      </c>
      <c r="E43" s="3" t="s">
        <v>5</v>
      </c>
      <c r="F43" s="3" t="s">
        <v>6</v>
      </c>
      <c r="G43" s="1"/>
      <c r="H43" s="1"/>
      <c r="I43" s="1"/>
      <c r="J43" s="1"/>
      <c r="K43" s="1"/>
      <c r="L43" s="1"/>
    </row>
    <row r="44" spans="1:12" ht="15.75" x14ac:dyDescent="0.25">
      <c r="A44" s="5" t="s">
        <v>12</v>
      </c>
      <c r="B44" s="6">
        <f>C37*0.5</f>
        <v>3984.375</v>
      </c>
      <c r="C44" s="6">
        <f t="shared" ref="C44:D44" si="17">D37*0.5</f>
        <v>3984.375</v>
      </c>
      <c r="D44" s="6">
        <f t="shared" si="17"/>
        <v>3984.375</v>
      </c>
      <c r="E44" s="6">
        <f>B37*0.5</f>
        <v>3984.375</v>
      </c>
      <c r="F44" s="6">
        <f>SUM(B44:E44)</f>
        <v>15937.5</v>
      </c>
      <c r="G44" s="1"/>
      <c r="H44" s="14" t="s">
        <v>61</v>
      </c>
      <c r="I44" s="14">
        <f>B45+B44</f>
        <v>11953.125</v>
      </c>
      <c r="J44" s="1"/>
      <c r="K44" s="1"/>
      <c r="L44" s="1"/>
    </row>
    <row r="45" spans="1:12" ht="15.75" x14ac:dyDescent="0.25">
      <c r="A45" s="5" t="s">
        <v>29</v>
      </c>
      <c r="B45" s="6">
        <f>C37</f>
        <v>7968.75</v>
      </c>
      <c r="C45" s="6">
        <f t="shared" ref="C45:E45" si="18">D37</f>
        <v>7968.75</v>
      </c>
      <c r="D45" s="6">
        <f t="shared" si="18"/>
        <v>7968.75</v>
      </c>
      <c r="E45" s="6">
        <f t="shared" si="18"/>
        <v>31875</v>
      </c>
      <c r="F45" s="6">
        <f t="shared" ref="F45:F49" si="19">SUM(B45:E45)</f>
        <v>55781.25</v>
      </c>
      <c r="G45" s="1"/>
      <c r="H45" s="1"/>
      <c r="I45" s="1"/>
      <c r="J45" s="1"/>
      <c r="K45" s="1"/>
      <c r="L45" s="1"/>
    </row>
    <row r="46" spans="1:12" ht="15.75" x14ac:dyDescent="0.25">
      <c r="A46" s="5" t="s">
        <v>14</v>
      </c>
      <c r="B46" s="6">
        <f>B37*0.5</f>
        <v>3984.375</v>
      </c>
      <c r="C46" s="6">
        <f t="shared" ref="C46:E46" si="20">C37*0.5</f>
        <v>3984.375</v>
      </c>
      <c r="D46" s="6">
        <f t="shared" si="20"/>
        <v>3984.375</v>
      </c>
      <c r="E46" s="6">
        <f t="shared" si="20"/>
        <v>3984.375</v>
      </c>
      <c r="F46" s="6">
        <f t="shared" si="19"/>
        <v>15937.5</v>
      </c>
      <c r="G46" s="1"/>
      <c r="H46" s="1"/>
      <c r="I46" s="1"/>
      <c r="J46" s="1"/>
      <c r="K46" s="1"/>
      <c r="L46" s="1"/>
    </row>
    <row r="47" spans="1:12" ht="15.75" x14ac:dyDescent="0.25">
      <c r="A47" s="19" t="s">
        <v>30</v>
      </c>
      <c r="B47" s="8">
        <f>I44-B46</f>
        <v>7968.75</v>
      </c>
      <c r="C47" s="8">
        <f>$I$44-C46</f>
        <v>7968.75</v>
      </c>
      <c r="D47" s="8">
        <f t="shared" ref="D47:E47" si="21">$I$44-D46</f>
        <v>7968.75</v>
      </c>
      <c r="E47" s="8">
        <f t="shared" si="21"/>
        <v>7968.75</v>
      </c>
      <c r="F47" s="6">
        <f t="shared" si="19"/>
        <v>31875</v>
      </c>
      <c r="G47" s="1"/>
      <c r="H47" s="1"/>
      <c r="I47" s="1"/>
      <c r="J47" s="1"/>
      <c r="K47" s="1"/>
      <c r="L47" s="1"/>
    </row>
    <row r="48" spans="1:12" ht="15.75" x14ac:dyDescent="0.25">
      <c r="A48" s="5" t="s">
        <v>19</v>
      </c>
      <c r="B48" s="9">
        <v>20</v>
      </c>
      <c r="C48" s="9">
        <v>20</v>
      </c>
      <c r="D48" s="9">
        <v>20</v>
      </c>
      <c r="E48" s="9">
        <v>20</v>
      </c>
      <c r="F48" s="9">
        <f t="shared" si="19"/>
        <v>80</v>
      </c>
      <c r="G48" s="1"/>
      <c r="H48" s="1"/>
      <c r="I48" s="1"/>
      <c r="J48" s="1"/>
      <c r="K48" s="1"/>
      <c r="L48" s="1"/>
    </row>
    <row r="49" spans="1:12" ht="15.75" x14ac:dyDescent="0.25">
      <c r="A49" s="19" t="s">
        <v>58</v>
      </c>
      <c r="B49" s="9">
        <f>B47*B48</f>
        <v>159375</v>
      </c>
      <c r="C49" s="9">
        <f t="shared" ref="C49:E49" si="22">C47*C48</f>
        <v>159375</v>
      </c>
      <c r="D49" s="9">
        <f t="shared" si="22"/>
        <v>159375</v>
      </c>
      <c r="E49" s="9">
        <f t="shared" si="22"/>
        <v>159375</v>
      </c>
      <c r="F49" s="9">
        <f t="shared" si="19"/>
        <v>637500</v>
      </c>
      <c r="G49" s="1"/>
      <c r="H49" s="1"/>
      <c r="I49" s="1"/>
      <c r="J49" s="1"/>
      <c r="K49" s="1"/>
      <c r="L49" s="1"/>
    </row>
    <row r="50" spans="1:12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x14ac:dyDescent="0.25">
      <c r="A51" s="29"/>
      <c r="B51" s="30"/>
      <c r="C51" s="30"/>
      <c r="D51" s="30"/>
      <c r="E51" s="30"/>
      <c r="F51" s="30"/>
      <c r="G51" s="1"/>
      <c r="H51" s="1"/>
      <c r="I51" s="1"/>
      <c r="J51" s="1"/>
      <c r="K51" s="1"/>
      <c r="L51" s="1"/>
    </row>
    <row r="52" spans="1:12" ht="15.75" x14ac:dyDescent="0.25">
      <c r="A52" s="2" t="s">
        <v>32</v>
      </c>
      <c r="B52" s="3" t="s">
        <v>2</v>
      </c>
      <c r="C52" s="3" t="s">
        <v>3</v>
      </c>
      <c r="D52" s="3" t="s">
        <v>4</v>
      </c>
      <c r="E52" s="3" t="s">
        <v>5</v>
      </c>
      <c r="F52" s="3" t="s">
        <v>6</v>
      </c>
      <c r="G52" s="1"/>
      <c r="H52" s="1"/>
      <c r="I52" s="1"/>
      <c r="J52" s="1"/>
      <c r="K52" s="1"/>
      <c r="L52" s="1"/>
    </row>
    <row r="53" spans="1:12" ht="15.75" x14ac:dyDescent="0.25">
      <c r="A53" s="5" t="s">
        <v>12</v>
      </c>
      <c r="B53" s="6">
        <f>B38*0.5</f>
        <v>2562.5</v>
      </c>
      <c r="C53" s="6">
        <f t="shared" ref="C53:E53" si="23">C38*0.5</f>
        <v>2562.5</v>
      </c>
      <c r="D53" s="6">
        <f t="shared" si="23"/>
        <v>2562.5</v>
      </c>
      <c r="E53" s="6">
        <f t="shared" si="23"/>
        <v>2562.5</v>
      </c>
      <c r="F53" s="6">
        <f>SUM(B53:E53)</f>
        <v>10250</v>
      </c>
      <c r="G53" s="1"/>
      <c r="H53" s="1"/>
      <c r="I53" s="1"/>
      <c r="J53" s="1"/>
      <c r="K53" s="1"/>
      <c r="L53" s="1"/>
    </row>
    <row r="54" spans="1:12" ht="15.75" x14ac:dyDescent="0.25">
      <c r="A54" s="5" t="s">
        <v>29</v>
      </c>
      <c r="B54" s="6">
        <f>C38</f>
        <v>5125</v>
      </c>
      <c r="C54" s="6">
        <f t="shared" ref="C54:D54" si="24">D38</f>
        <v>5125</v>
      </c>
      <c r="D54" s="6">
        <f t="shared" si="24"/>
        <v>5125</v>
      </c>
      <c r="E54" s="6">
        <f>B38</f>
        <v>5125</v>
      </c>
      <c r="F54" s="6">
        <f t="shared" ref="F54:F58" si="25">SUM(B54:E54)</f>
        <v>20500</v>
      </c>
      <c r="G54" s="1"/>
      <c r="H54" s="1"/>
      <c r="I54" s="1"/>
      <c r="J54" s="1"/>
      <c r="K54" s="1"/>
      <c r="L54" s="1"/>
    </row>
    <row r="55" spans="1:12" ht="15.75" x14ac:dyDescent="0.25">
      <c r="A55" s="5" t="s">
        <v>14</v>
      </c>
      <c r="B55" s="6">
        <f>B38*0.5</f>
        <v>2562.5</v>
      </c>
      <c r="C55" s="6">
        <f t="shared" ref="C55:E55" si="26">C38*0.5</f>
        <v>2562.5</v>
      </c>
      <c r="D55" s="6">
        <f t="shared" si="26"/>
        <v>2562.5</v>
      </c>
      <c r="E55" s="6">
        <f t="shared" si="26"/>
        <v>2562.5</v>
      </c>
      <c r="F55" s="6">
        <f t="shared" si="25"/>
        <v>10250</v>
      </c>
      <c r="G55" s="1"/>
      <c r="H55" s="1"/>
      <c r="I55" s="1"/>
      <c r="J55" s="1"/>
      <c r="K55" s="1"/>
      <c r="L55" s="1"/>
    </row>
    <row r="56" spans="1:12" ht="15.75" x14ac:dyDescent="0.25">
      <c r="A56" s="19" t="s">
        <v>30</v>
      </c>
      <c r="B56" s="6">
        <f>$I$44-B55</f>
        <v>9390.625</v>
      </c>
      <c r="C56" s="6">
        <f t="shared" ref="C56:E56" si="27">$I$44-C55</f>
        <v>9390.625</v>
      </c>
      <c r="D56" s="6">
        <f t="shared" si="27"/>
        <v>9390.625</v>
      </c>
      <c r="E56" s="6">
        <f t="shared" si="27"/>
        <v>9390.625</v>
      </c>
      <c r="F56" s="6">
        <f t="shared" si="25"/>
        <v>37562.5</v>
      </c>
      <c r="G56" s="1"/>
      <c r="H56" s="1"/>
      <c r="I56" s="1"/>
      <c r="J56" s="1"/>
      <c r="K56" s="1"/>
      <c r="L56" s="1"/>
    </row>
    <row r="57" spans="1:12" ht="15.75" x14ac:dyDescent="0.25">
      <c r="A57" s="5" t="s">
        <v>19</v>
      </c>
      <c r="B57" s="9">
        <v>20</v>
      </c>
      <c r="C57" s="9">
        <v>20</v>
      </c>
      <c r="D57" s="9">
        <v>20</v>
      </c>
      <c r="E57" s="9">
        <v>20</v>
      </c>
      <c r="F57" s="9">
        <f t="shared" si="25"/>
        <v>80</v>
      </c>
      <c r="G57" s="1"/>
      <c r="H57" s="1"/>
      <c r="I57" s="1"/>
      <c r="J57" s="1"/>
      <c r="K57" s="1"/>
      <c r="L57" s="1"/>
    </row>
    <row r="58" spans="1:12" ht="15.75" x14ac:dyDescent="0.25">
      <c r="A58" s="19" t="s">
        <v>31</v>
      </c>
      <c r="B58" s="9">
        <f>B56*B57</f>
        <v>187812.5</v>
      </c>
      <c r="C58" s="9">
        <f t="shared" ref="C58:E58" si="28">C56*C57</f>
        <v>187812.5</v>
      </c>
      <c r="D58" s="9">
        <f t="shared" si="28"/>
        <v>187812.5</v>
      </c>
      <c r="E58" s="9">
        <f t="shared" si="28"/>
        <v>187812.5</v>
      </c>
      <c r="F58" s="9">
        <f t="shared" si="25"/>
        <v>751250</v>
      </c>
      <c r="G58" s="1"/>
      <c r="H58" s="1"/>
      <c r="I58" s="1"/>
      <c r="J58" s="1"/>
      <c r="K58" s="1"/>
      <c r="L58" s="1"/>
    </row>
    <row r="59" spans="1:12" ht="15.75" x14ac:dyDescent="0.25">
      <c r="A59" s="10" t="s">
        <v>33</v>
      </c>
      <c r="B59" s="11">
        <f>B49+B58</f>
        <v>347187.5</v>
      </c>
      <c r="C59" s="11">
        <f t="shared" ref="C59:E59" si="29">C49+C58</f>
        <v>347187.5</v>
      </c>
      <c r="D59" s="11">
        <f t="shared" si="29"/>
        <v>347187.5</v>
      </c>
      <c r="E59" s="11">
        <f t="shared" si="29"/>
        <v>347187.5</v>
      </c>
      <c r="F59" s="11">
        <f>F49+F58</f>
        <v>1388750</v>
      </c>
      <c r="G59" s="1"/>
      <c r="H59" s="1"/>
      <c r="I59" s="1"/>
      <c r="J59" s="1"/>
      <c r="K59" s="1"/>
      <c r="L59" s="1"/>
    </row>
    <row r="60" spans="1:12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x14ac:dyDescent="0.25">
      <c r="A62" s="29" t="s">
        <v>34</v>
      </c>
      <c r="B62" s="30"/>
      <c r="C62" s="30"/>
      <c r="D62" s="30"/>
      <c r="E62" s="30"/>
      <c r="F62" s="30"/>
      <c r="G62" s="1"/>
      <c r="H62" s="1"/>
      <c r="I62" s="1"/>
      <c r="J62" s="1"/>
      <c r="K62" s="1"/>
      <c r="L62" s="1"/>
    </row>
    <row r="63" spans="1:12" ht="15.75" x14ac:dyDescent="0.25">
      <c r="A63" s="2" t="s">
        <v>35</v>
      </c>
      <c r="B63" s="3" t="s">
        <v>36</v>
      </c>
      <c r="C63" s="3" t="s">
        <v>37</v>
      </c>
      <c r="D63" s="3" t="s">
        <v>38</v>
      </c>
      <c r="E63" s="3" t="s">
        <v>39</v>
      </c>
      <c r="F63" s="3" t="s">
        <v>40</v>
      </c>
      <c r="G63" s="1"/>
      <c r="H63" s="1"/>
      <c r="I63" s="1"/>
      <c r="J63" s="1"/>
      <c r="K63" s="1"/>
      <c r="L63" s="1"/>
    </row>
    <row r="64" spans="1:12" ht="15.75" x14ac:dyDescent="0.25">
      <c r="A64" s="5" t="s">
        <v>41</v>
      </c>
      <c r="B64" s="6">
        <f>6/2</f>
        <v>3</v>
      </c>
      <c r="C64" s="8">
        <f>5/2</f>
        <v>2.5</v>
      </c>
      <c r="D64" s="9">
        <v>5</v>
      </c>
      <c r="E64" s="6">
        <f>B20*3*5</f>
        <v>3750</v>
      </c>
      <c r="F64" s="6">
        <f>$C$20*2.5*5</f>
        <v>3125</v>
      </c>
      <c r="G64" s="1"/>
      <c r="H64" s="1"/>
      <c r="I64" s="1"/>
      <c r="J64" s="1"/>
      <c r="K64" s="1"/>
      <c r="L64" s="1"/>
    </row>
    <row r="65" spans="1:12" ht="15.75" x14ac:dyDescent="0.25">
      <c r="A65" s="5" t="s">
        <v>42</v>
      </c>
      <c r="B65" s="6">
        <f>6/2</f>
        <v>3</v>
      </c>
      <c r="C65" s="8">
        <f>5/2</f>
        <v>2.5</v>
      </c>
      <c r="D65" s="9">
        <v>5</v>
      </c>
      <c r="E65" s="6">
        <f>B20*3*5</f>
        <v>3750</v>
      </c>
      <c r="F65" s="6">
        <f>$C$20*2.5*5</f>
        <v>3125</v>
      </c>
      <c r="G65" s="1"/>
      <c r="H65" s="1"/>
      <c r="I65" s="1"/>
      <c r="J65" s="1"/>
      <c r="K65" s="1"/>
      <c r="L65" s="1"/>
    </row>
    <row r="66" spans="1:12" ht="15.75" x14ac:dyDescent="0.25">
      <c r="A66" s="5" t="s">
        <v>6</v>
      </c>
      <c r="B66" s="6"/>
      <c r="C66" s="6"/>
      <c r="D66" s="6"/>
      <c r="E66" s="6">
        <f>SUM(E64:E65)</f>
        <v>7500</v>
      </c>
      <c r="F66" s="6">
        <f>SUM(F64:F65)</f>
        <v>6250</v>
      </c>
      <c r="G66" s="1"/>
      <c r="H66" s="1"/>
      <c r="I66" s="1"/>
      <c r="J66" s="1"/>
      <c r="K66" s="1"/>
      <c r="L66" s="1"/>
    </row>
    <row r="67" spans="1:12" ht="15.75" x14ac:dyDescent="0.25">
      <c r="A67" s="25"/>
      <c r="B67" s="18"/>
      <c r="C67" s="18"/>
      <c r="D67" s="18"/>
      <c r="E67" s="18"/>
      <c r="F67" s="18"/>
      <c r="G67" s="1"/>
      <c r="H67" s="1"/>
      <c r="I67" s="1"/>
      <c r="J67" s="1"/>
      <c r="K67" s="1"/>
      <c r="L67" s="1"/>
    </row>
    <row r="68" spans="1:12" ht="15.75" x14ac:dyDescent="0.25">
      <c r="A68" s="42" t="s">
        <v>72</v>
      </c>
      <c r="B68" s="32"/>
      <c r="C68" s="32"/>
      <c r="D68" s="32"/>
      <c r="E68" s="32"/>
      <c r="F68" s="32"/>
      <c r="G68" s="1"/>
      <c r="H68" s="1"/>
      <c r="I68" s="1"/>
      <c r="J68" s="1"/>
      <c r="K68" s="1"/>
      <c r="L68" s="1"/>
    </row>
    <row r="69" spans="1:12" ht="15.75" x14ac:dyDescent="0.25">
      <c r="A69" s="5"/>
      <c r="B69" s="6"/>
      <c r="C69" s="6"/>
      <c r="D69" s="6"/>
      <c r="E69" s="6"/>
      <c r="F69" s="6"/>
      <c r="G69" s="1"/>
      <c r="H69" s="1"/>
      <c r="I69" s="1"/>
      <c r="J69" s="1"/>
      <c r="K69" s="1"/>
      <c r="L69" s="1"/>
    </row>
    <row r="70" spans="1:12" ht="15.75" x14ac:dyDescent="0.25">
      <c r="A70" s="3"/>
      <c r="B70" s="3" t="s">
        <v>2</v>
      </c>
      <c r="C70" s="3" t="s">
        <v>3</v>
      </c>
      <c r="D70" s="3" t="s">
        <v>4</v>
      </c>
      <c r="E70" s="3" t="s">
        <v>5</v>
      </c>
      <c r="F70" s="3" t="s">
        <v>6</v>
      </c>
      <c r="G70" s="1"/>
      <c r="H70" s="1"/>
      <c r="I70" s="1"/>
      <c r="J70" s="1"/>
      <c r="K70" s="1"/>
      <c r="L70" s="1"/>
    </row>
    <row r="71" spans="1:12" ht="15.75" x14ac:dyDescent="0.25">
      <c r="A71" s="2" t="s">
        <v>73</v>
      </c>
      <c r="B71" s="1"/>
      <c r="C71" s="3"/>
      <c r="D71" s="3"/>
      <c r="E71" s="3"/>
      <c r="F71" s="3"/>
      <c r="G71" s="1"/>
      <c r="H71" s="1"/>
      <c r="I71" s="1"/>
      <c r="J71" s="1"/>
      <c r="K71" s="1"/>
      <c r="L71" s="1"/>
    </row>
    <row r="72" spans="1:12" ht="15.75" x14ac:dyDescent="0.25">
      <c r="A72" s="2" t="s">
        <v>7</v>
      </c>
      <c r="B72" s="3">
        <f>B4*0.25</f>
        <v>62.5</v>
      </c>
      <c r="C72" s="3">
        <f>C4*0.25</f>
        <v>62.5</v>
      </c>
      <c r="D72" s="3">
        <f>D4*0.25</f>
        <v>62.5</v>
      </c>
      <c r="E72" s="3">
        <f>E4*0.25</f>
        <v>62.5</v>
      </c>
      <c r="F72" s="6">
        <f>SUM(B72:E72)</f>
        <v>250</v>
      </c>
      <c r="G72" s="1"/>
      <c r="H72" s="1"/>
      <c r="I72" s="1"/>
      <c r="J72" s="1"/>
      <c r="K72" s="1"/>
      <c r="L72" s="1"/>
    </row>
    <row r="73" spans="1:12" ht="15.75" x14ac:dyDescent="0.25">
      <c r="A73" s="2" t="s">
        <v>8</v>
      </c>
      <c r="B73" s="6">
        <f>(20*10)*0.5</f>
        <v>100</v>
      </c>
      <c r="C73" s="6">
        <f t="shared" ref="C73:E73" si="30">(20*10)*0.5</f>
        <v>100</v>
      </c>
      <c r="D73" s="6">
        <f t="shared" si="30"/>
        <v>100</v>
      </c>
      <c r="E73" s="6">
        <f t="shared" si="30"/>
        <v>100</v>
      </c>
      <c r="F73" s="6">
        <f>SUM(B73:E73)</f>
        <v>400</v>
      </c>
      <c r="G73" s="1"/>
      <c r="H73" s="1"/>
      <c r="I73" s="1"/>
      <c r="J73" s="1"/>
      <c r="K73" s="1"/>
      <c r="L73" s="1"/>
    </row>
    <row r="74" spans="1:12" ht="15.75" x14ac:dyDescent="0.25">
      <c r="A74" s="2" t="s">
        <v>74</v>
      </c>
      <c r="B74" s="6">
        <f>SUM(B72:B73)</f>
        <v>162.5</v>
      </c>
      <c r="C74" s="6">
        <f t="shared" ref="C74:F75" si="31">SUM(C72:C73)</f>
        <v>162.5</v>
      </c>
      <c r="D74" s="6">
        <f t="shared" si="31"/>
        <v>162.5</v>
      </c>
      <c r="E74" s="6">
        <f t="shared" si="31"/>
        <v>162.5</v>
      </c>
      <c r="F74" s="6">
        <f t="shared" si="31"/>
        <v>650</v>
      </c>
      <c r="G74" s="1"/>
      <c r="H74" s="1"/>
      <c r="I74" s="1"/>
      <c r="J74" s="1"/>
      <c r="K74" s="1"/>
      <c r="L74" s="1"/>
    </row>
    <row r="75" spans="1:12" ht="15.75" x14ac:dyDescent="0.25">
      <c r="A75" s="2" t="s">
        <v>19</v>
      </c>
      <c r="B75" s="9">
        <v>5</v>
      </c>
      <c r="C75" s="9">
        <v>5</v>
      </c>
      <c r="D75" s="9">
        <v>5</v>
      </c>
      <c r="E75" s="9">
        <v>5</v>
      </c>
      <c r="F75" s="9">
        <f>SUM(B75:E75)</f>
        <v>20</v>
      </c>
      <c r="G75" s="1"/>
      <c r="H75" s="1"/>
      <c r="I75" s="1"/>
      <c r="J75" s="1"/>
      <c r="K75" s="1"/>
      <c r="L75" s="1"/>
    </row>
    <row r="76" spans="1:12" ht="15.75" x14ac:dyDescent="0.25">
      <c r="A76" s="2" t="s">
        <v>75</v>
      </c>
      <c r="B76" s="9">
        <f>B74*5</f>
        <v>812.5</v>
      </c>
      <c r="C76" s="9">
        <f t="shared" ref="C76:F76" si="32">C74*5</f>
        <v>812.5</v>
      </c>
      <c r="D76" s="9">
        <f t="shared" si="32"/>
        <v>812.5</v>
      </c>
      <c r="E76" s="9">
        <f t="shared" si="32"/>
        <v>812.5</v>
      </c>
      <c r="F76" s="9">
        <f t="shared" si="32"/>
        <v>3250</v>
      </c>
      <c r="G76" s="1"/>
      <c r="H76" s="1"/>
      <c r="I76" s="1"/>
      <c r="J76" s="1"/>
      <c r="K76" s="1"/>
      <c r="L76" s="1"/>
    </row>
    <row r="77" spans="1:12" ht="15.75" x14ac:dyDescent="0.25">
      <c r="A77" s="25"/>
      <c r="B77" s="18"/>
      <c r="C77" s="18"/>
      <c r="D77" s="18"/>
      <c r="E77" s="18"/>
      <c r="F77" s="18"/>
      <c r="G77" s="1"/>
      <c r="H77" s="1"/>
      <c r="I77" s="1"/>
      <c r="J77" s="1"/>
      <c r="K77" s="1"/>
      <c r="L77" s="1"/>
    </row>
    <row r="78" spans="1:12" ht="15.75" x14ac:dyDescent="0.25">
      <c r="A78" s="2" t="s">
        <v>76</v>
      </c>
      <c r="B78" s="3"/>
      <c r="C78" s="3"/>
      <c r="D78" s="3"/>
      <c r="E78" s="3"/>
      <c r="F78" s="3"/>
      <c r="G78" s="1"/>
      <c r="H78" s="1"/>
      <c r="I78" s="1"/>
      <c r="J78" s="1"/>
      <c r="K78" s="1"/>
      <c r="L78" s="1"/>
    </row>
    <row r="79" spans="1:12" ht="15.75" x14ac:dyDescent="0.25">
      <c r="A79" s="2" t="s">
        <v>7</v>
      </c>
      <c r="B79" s="3">
        <f>B4*0.25</f>
        <v>62.5</v>
      </c>
      <c r="C79" s="3">
        <f t="shared" ref="C79:E79" si="33">C4*0.25</f>
        <v>62.5</v>
      </c>
      <c r="D79" s="3">
        <f t="shared" si="33"/>
        <v>62.5</v>
      </c>
      <c r="E79" s="3">
        <f t="shared" si="33"/>
        <v>62.5</v>
      </c>
      <c r="F79" s="6">
        <f>SUM(B79:E79)</f>
        <v>250</v>
      </c>
      <c r="G79" s="1"/>
      <c r="H79" s="1"/>
      <c r="I79" s="1"/>
      <c r="J79" s="1"/>
      <c r="K79" s="1"/>
      <c r="L79" s="1"/>
    </row>
    <row r="80" spans="1:12" ht="15.75" x14ac:dyDescent="0.25">
      <c r="A80" s="2" t="s">
        <v>8</v>
      </c>
      <c r="B80" s="6">
        <f>(20*10)*0.5</f>
        <v>100</v>
      </c>
      <c r="C80" s="6">
        <f t="shared" ref="C80:E80" si="34">(20*10)*0.5</f>
        <v>100</v>
      </c>
      <c r="D80" s="6">
        <f t="shared" si="34"/>
        <v>100</v>
      </c>
      <c r="E80" s="6">
        <f t="shared" si="34"/>
        <v>100</v>
      </c>
      <c r="F80" s="6">
        <f>SUM(B80:E80)</f>
        <v>400</v>
      </c>
      <c r="G80" s="1"/>
      <c r="H80" s="1"/>
      <c r="I80" s="1"/>
      <c r="J80" s="1"/>
      <c r="K80" s="1"/>
      <c r="L80" s="1"/>
    </row>
    <row r="81" spans="1:12" ht="15.75" x14ac:dyDescent="0.25">
      <c r="A81" s="2" t="s">
        <v>74</v>
      </c>
      <c r="B81" s="6">
        <f>SUM(B79:B80)</f>
        <v>162.5</v>
      </c>
      <c r="C81" s="6">
        <f t="shared" ref="C81:E81" si="35">SUM(C79:C80)</f>
        <v>162.5</v>
      </c>
      <c r="D81" s="6">
        <f t="shared" si="35"/>
        <v>162.5</v>
      </c>
      <c r="E81" s="6">
        <f t="shared" si="35"/>
        <v>162.5</v>
      </c>
      <c r="F81" s="6">
        <f>SUM(B81:E81)</f>
        <v>650</v>
      </c>
      <c r="G81" s="1"/>
      <c r="H81" s="1"/>
      <c r="I81" s="1"/>
      <c r="J81" s="1"/>
      <c r="K81" s="1"/>
      <c r="L81" s="1"/>
    </row>
    <row r="82" spans="1:12" ht="15.75" x14ac:dyDescent="0.25">
      <c r="A82" s="2" t="s">
        <v>19</v>
      </c>
      <c r="B82" s="9">
        <v>5</v>
      </c>
      <c r="C82" s="9">
        <v>5</v>
      </c>
      <c r="D82" s="9">
        <v>5</v>
      </c>
      <c r="E82" s="9">
        <v>5</v>
      </c>
      <c r="F82" s="9">
        <f>SUM(B82:E82)</f>
        <v>20</v>
      </c>
      <c r="G82" s="1"/>
      <c r="H82" s="1"/>
      <c r="I82" s="1"/>
      <c r="J82" s="1"/>
      <c r="K82" s="1"/>
      <c r="L82" s="1"/>
    </row>
    <row r="83" spans="1:12" ht="15.75" x14ac:dyDescent="0.25">
      <c r="A83" s="2" t="s">
        <v>75</v>
      </c>
      <c r="B83" s="9">
        <f>B81*B82</f>
        <v>812.5</v>
      </c>
      <c r="C83" s="9">
        <f t="shared" ref="C83:E83" si="36">C81*C82</f>
        <v>812.5</v>
      </c>
      <c r="D83" s="9">
        <f t="shared" si="36"/>
        <v>812.5</v>
      </c>
      <c r="E83" s="9">
        <f t="shared" si="36"/>
        <v>812.5</v>
      </c>
      <c r="F83" s="9">
        <f>SUM(B83:E83)</f>
        <v>3250</v>
      </c>
      <c r="G83" s="1"/>
      <c r="H83" s="1"/>
      <c r="I83" s="1"/>
      <c r="J83" s="1"/>
      <c r="K83" s="1"/>
      <c r="L83" s="1"/>
    </row>
    <row r="84" spans="1:12" ht="15.75" x14ac:dyDescent="0.25">
      <c r="A84" s="25"/>
      <c r="B84" s="18"/>
      <c r="C84" s="18"/>
      <c r="D84" s="18"/>
      <c r="E84" s="18"/>
      <c r="F84" s="18"/>
      <c r="G84" s="1"/>
      <c r="H84" s="1"/>
      <c r="I84" s="1"/>
      <c r="J84" s="1"/>
      <c r="K84" s="1"/>
      <c r="L84" s="1"/>
    </row>
    <row r="85" spans="1:12" ht="15.75" x14ac:dyDescent="0.25">
      <c r="A85" s="2" t="s">
        <v>77</v>
      </c>
      <c r="B85" s="20">
        <f>SUM(B76,B83)</f>
        <v>1625</v>
      </c>
      <c r="C85" s="20">
        <f t="shared" ref="C85:F85" si="37">SUM(C76,C83)</f>
        <v>1625</v>
      </c>
      <c r="D85" s="20">
        <f t="shared" si="37"/>
        <v>1625</v>
      </c>
      <c r="E85" s="20">
        <f t="shared" si="37"/>
        <v>1625</v>
      </c>
      <c r="F85" s="20">
        <f t="shared" si="37"/>
        <v>6500</v>
      </c>
      <c r="G85" s="1"/>
      <c r="H85" s="1"/>
      <c r="I85" s="1"/>
      <c r="J85" s="1"/>
      <c r="K85" s="1"/>
      <c r="L85" s="1"/>
    </row>
    <row r="86" spans="1:12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x14ac:dyDescent="0.25">
      <c r="A87" s="26" t="s">
        <v>43</v>
      </c>
      <c r="B87" s="26"/>
      <c r="C87" s="26"/>
      <c r="D87" s="26"/>
      <c r="E87" s="26"/>
      <c r="F87" s="26"/>
      <c r="G87" s="1"/>
      <c r="H87" s="1"/>
      <c r="I87" s="1"/>
      <c r="J87" s="1"/>
      <c r="K87" s="1"/>
      <c r="L87" s="1"/>
    </row>
    <row r="88" spans="1:12" ht="15.75" x14ac:dyDescent="0.25">
      <c r="A88" s="2" t="s">
        <v>44</v>
      </c>
      <c r="B88" s="3" t="s">
        <v>23</v>
      </c>
      <c r="C88" s="3" t="s">
        <v>24</v>
      </c>
      <c r="D88" s="3" t="s">
        <v>25</v>
      </c>
      <c r="E88" s="3" t="s">
        <v>26</v>
      </c>
      <c r="F88" s="3" t="s">
        <v>6</v>
      </c>
      <c r="G88" s="1"/>
      <c r="H88" s="1"/>
      <c r="I88" s="1"/>
      <c r="J88" s="1"/>
      <c r="K88" s="1"/>
      <c r="L88" s="1"/>
    </row>
    <row r="89" spans="1:12" ht="15.75" x14ac:dyDescent="0.25">
      <c r="A89" s="5" t="s">
        <v>7</v>
      </c>
      <c r="B89" s="9">
        <f>B20*50</f>
        <v>12500</v>
      </c>
      <c r="C89" s="9">
        <f t="shared" ref="C89:E89" si="38">C20*50</f>
        <v>12500</v>
      </c>
      <c r="D89" s="9">
        <f t="shared" si="38"/>
        <v>12500</v>
      </c>
      <c r="E89" s="9">
        <f t="shared" si="38"/>
        <v>12500</v>
      </c>
      <c r="F89" s="9">
        <f>SUM(B89:E89)</f>
        <v>50000</v>
      </c>
      <c r="G89" s="1"/>
      <c r="H89" s="1"/>
      <c r="I89" s="1"/>
      <c r="J89" s="1"/>
      <c r="K89" s="1"/>
      <c r="L89" s="1"/>
    </row>
    <row r="90" spans="1:12" ht="15.75" x14ac:dyDescent="0.25">
      <c r="A90" s="5" t="s">
        <v>8</v>
      </c>
      <c r="B90" s="9">
        <f>B27*50</f>
        <v>15625</v>
      </c>
      <c r="C90" s="9">
        <f t="shared" ref="C90:E90" si="39">C27*50</f>
        <v>15625</v>
      </c>
      <c r="D90" s="9">
        <f t="shared" si="39"/>
        <v>15625</v>
      </c>
      <c r="E90" s="9">
        <f t="shared" si="39"/>
        <v>15625</v>
      </c>
      <c r="F90" s="9">
        <f>SUM(B90:E90)</f>
        <v>62500</v>
      </c>
      <c r="G90" s="1"/>
      <c r="H90" s="1"/>
      <c r="I90" s="1"/>
      <c r="J90" s="1"/>
      <c r="K90" s="1"/>
      <c r="L90" s="1"/>
    </row>
    <row r="91" spans="1:12" ht="15.75" x14ac:dyDescent="0.25">
      <c r="A91" s="5" t="s">
        <v>45</v>
      </c>
      <c r="B91" s="9">
        <f>SUM(B89:B90)</f>
        <v>28125</v>
      </c>
      <c r="C91" s="9">
        <f t="shared" ref="C91:F91" si="40">SUM(C89:C90)</f>
        <v>28125</v>
      </c>
      <c r="D91" s="9">
        <f t="shared" si="40"/>
        <v>28125</v>
      </c>
      <c r="E91" s="9">
        <f t="shared" si="40"/>
        <v>28125</v>
      </c>
      <c r="F91" s="9">
        <f t="shared" si="40"/>
        <v>112500</v>
      </c>
      <c r="G91" s="1"/>
      <c r="H91" s="1"/>
      <c r="I91" s="1"/>
      <c r="J91" s="1"/>
      <c r="K91" s="1"/>
      <c r="L91" s="1"/>
    </row>
    <row r="92" spans="1:12" ht="15.75" x14ac:dyDescent="0.25">
      <c r="A92" s="2" t="s">
        <v>46</v>
      </c>
      <c r="B92" s="3" t="s">
        <v>23</v>
      </c>
      <c r="C92" s="3" t="s">
        <v>24</v>
      </c>
      <c r="D92" s="3" t="s">
        <v>25</v>
      </c>
      <c r="E92" s="3" t="s">
        <v>26</v>
      </c>
      <c r="F92" s="3" t="s">
        <v>6</v>
      </c>
      <c r="G92" s="1"/>
      <c r="H92" s="1"/>
      <c r="I92" s="1"/>
      <c r="J92" s="1"/>
      <c r="K92" s="1"/>
      <c r="L92" s="1"/>
    </row>
    <row r="93" spans="1:12" ht="15.75" x14ac:dyDescent="0.25">
      <c r="A93" s="5" t="s">
        <v>47</v>
      </c>
      <c r="B93" s="9">
        <v>7550</v>
      </c>
      <c r="C93" s="9">
        <v>7550</v>
      </c>
      <c r="D93" s="9">
        <v>7550</v>
      </c>
      <c r="E93" s="9">
        <v>7550</v>
      </c>
      <c r="F93" s="9">
        <f>SUM(B93:E93)</f>
        <v>30200</v>
      </c>
      <c r="G93" s="1"/>
      <c r="H93" s="1"/>
      <c r="I93" s="1"/>
      <c r="J93" s="1"/>
      <c r="K93" s="1"/>
      <c r="L93" s="1"/>
    </row>
    <row r="94" spans="1:12" ht="15.75" x14ac:dyDescent="0.25">
      <c r="A94" s="5" t="s">
        <v>48</v>
      </c>
      <c r="B94" s="9">
        <v>1250</v>
      </c>
      <c r="C94" s="9">
        <v>1250</v>
      </c>
      <c r="D94" s="9">
        <v>1250</v>
      </c>
      <c r="E94" s="9">
        <v>1250</v>
      </c>
      <c r="F94" s="9">
        <f t="shared" ref="F94:F96" si="41">SUM(B94:E94)</f>
        <v>5000</v>
      </c>
      <c r="G94" s="1"/>
      <c r="H94" s="1"/>
      <c r="I94" s="1"/>
      <c r="J94" s="1"/>
      <c r="K94" s="1"/>
      <c r="L94" s="1"/>
    </row>
    <row r="95" spans="1:12" ht="15.75" x14ac:dyDescent="0.25">
      <c r="A95" s="5" t="s">
        <v>49</v>
      </c>
      <c r="B95" s="9">
        <v>8000</v>
      </c>
      <c r="C95" s="9">
        <v>8000</v>
      </c>
      <c r="D95" s="9">
        <v>8000</v>
      </c>
      <c r="E95" s="9">
        <v>8000</v>
      </c>
      <c r="F95" s="9">
        <f t="shared" si="41"/>
        <v>32000</v>
      </c>
      <c r="G95" s="1"/>
      <c r="H95" s="1"/>
      <c r="I95" s="1"/>
      <c r="J95" s="1"/>
      <c r="K95" s="1"/>
      <c r="L95" s="1"/>
    </row>
    <row r="96" spans="1:12" ht="15.75" x14ac:dyDescent="0.25">
      <c r="A96" s="5" t="s">
        <v>6</v>
      </c>
      <c r="B96" s="9">
        <f>SUM(B93:B95)</f>
        <v>16800</v>
      </c>
      <c r="C96" s="9">
        <f t="shared" ref="C96:E96" si="42">SUM(C93:C95)</f>
        <v>16800</v>
      </c>
      <c r="D96" s="9">
        <f t="shared" si="42"/>
        <v>16800</v>
      </c>
      <c r="E96" s="9">
        <f t="shared" si="42"/>
        <v>16800</v>
      </c>
      <c r="F96" s="9">
        <f t="shared" si="41"/>
        <v>67200</v>
      </c>
      <c r="G96" s="1"/>
      <c r="H96" s="1"/>
      <c r="I96" s="1"/>
      <c r="J96" s="1"/>
      <c r="K96" s="1"/>
      <c r="L96" s="1"/>
    </row>
    <row r="97" spans="1:12" ht="15.75" x14ac:dyDescent="0.25">
      <c r="A97" s="10" t="s">
        <v>50</v>
      </c>
      <c r="B97" s="11">
        <f>SUM(B91,B96)</f>
        <v>44925</v>
      </c>
      <c r="C97" s="11">
        <f t="shared" ref="C97:F97" si="43">SUM(C91,C96)</f>
        <v>44925</v>
      </c>
      <c r="D97" s="11">
        <f t="shared" si="43"/>
        <v>44925</v>
      </c>
      <c r="E97" s="11">
        <f t="shared" si="43"/>
        <v>44925</v>
      </c>
      <c r="F97" s="11">
        <f t="shared" si="43"/>
        <v>179700</v>
      </c>
      <c r="G97" s="1"/>
      <c r="H97" s="1"/>
      <c r="I97" s="1"/>
      <c r="J97" s="1"/>
      <c r="K97" s="1"/>
      <c r="L97" s="1"/>
    </row>
    <row r="98" spans="1:12" ht="15.75" x14ac:dyDescent="0.25">
      <c r="A98" s="2" t="s">
        <v>51</v>
      </c>
      <c r="B98" s="20">
        <f>B11-(B59+E66+B97)</f>
        <v>-383050</v>
      </c>
      <c r="C98" s="20">
        <f t="shared" ref="C98:E98" si="44">C11-(C59+F66+C97)</f>
        <v>-381800</v>
      </c>
      <c r="D98" s="20">
        <f t="shared" si="44"/>
        <v>-375550</v>
      </c>
      <c r="E98" s="20">
        <f t="shared" si="44"/>
        <v>-375550</v>
      </c>
      <c r="F98" s="20">
        <f>SUM(B98:E98)</f>
        <v>-1515950</v>
      </c>
      <c r="G98" s="1"/>
      <c r="H98" s="1"/>
      <c r="I98" s="1"/>
      <c r="J98" s="1"/>
      <c r="K98" s="1"/>
      <c r="L98" s="1"/>
    </row>
    <row r="99" spans="1:12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x14ac:dyDescent="0.25">
      <c r="A101" s="14"/>
      <c r="B101" s="21" t="s">
        <v>64</v>
      </c>
      <c r="C101" s="21" t="s">
        <v>65</v>
      </c>
      <c r="D101" s="21" t="s">
        <v>66</v>
      </c>
      <c r="E101" s="21" t="s">
        <v>67</v>
      </c>
      <c r="F101" s="21" t="s">
        <v>6</v>
      </c>
      <c r="G101" s="1"/>
      <c r="H101" s="1"/>
      <c r="I101" s="1"/>
      <c r="J101" s="1"/>
      <c r="K101" s="1"/>
      <c r="L101" s="1"/>
    </row>
    <row r="102" spans="1:12" ht="15.75" x14ac:dyDescent="0.25">
      <c r="A102" s="21" t="s">
        <v>9</v>
      </c>
      <c r="B102" s="4">
        <f>(B4*$J$3) + (B5*$J$4)</f>
        <v>16562.5</v>
      </c>
      <c r="C102" s="4">
        <f t="shared" ref="C102:E102" si="45">(C4*$J$3) + (C5*$J$4)</f>
        <v>16562.5</v>
      </c>
      <c r="D102" s="4">
        <f t="shared" si="45"/>
        <v>16562.5</v>
      </c>
      <c r="E102" s="4">
        <f t="shared" si="45"/>
        <v>16562.5</v>
      </c>
      <c r="F102" s="4">
        <f>SUM(B102:E102)</f>
        <v>66250</v>
      </c>
      <c r="G102" s="1"/>
      <c r="H102" s="1"/>
      <c r="I102" s="1"/>
      <c r="J102" s="1"/>
      <c r="K102" s="1"/>
      <c r="L102" s="1"/>
    </row>
    <row r="103" spans="1:12" ht="15.75" x14ac:dyDescent="0.25">
      <c r="A103" s="21" t="s">
        <v>68</v>
      </c>
      <c r="B103" s="14">
        <f>SUM(F37:F38)</f>
        <v>52375</v>
      </c>
      <c r="C103" s="14"/>
      <c r="D103" s="14"/>
      <c r="E103" s="14"/>
      <c r="F103" s="14"/>
      <c r="G103" s="1"/>
      <c r="H103" s="1"/>
      <c r="I103" s="1"/>
      <c r="J103" s="1"/>
      <c r="K103" s="1"/>
      <c r="L103" s="1"/>
    </row>
    <row r="104" spans="1:12" ht="15.75" x14ac:dyDescent="0.25">
      <c r="A104" s="21" t="s">
        <v>69</v>
      </c>
      <c r="B104" s="4">
        <f>SUM(E66:F66)</f>
        <v>13750</v>
      </c>
      <c r="C104" s="14"/>
      <c r="D104" s="14"/>
      <c r="E104" s="14"/>
      <c r="F104" s="14"/>
      <c r="G104" s="1"/>
      <c r="H104" s="1"/>
      <c r="I104" s="1"/>
      <c r="J104" s="1"/>
      <c r="K104" s="1"/>
      <c r="L104" s="1"/>
    </row>
    <row r="105" spans="1:12" ht="15.75" x14ac:dyDescent="0.25">
      <c r="A105" s="21" t="s">
        <v>70</v>
      </c>
      <c r="B105" s="4">
        <f>F97</f>
        <v>179700</v>
      </c>
      <c r="C105" s="14"/>
      <c r="D105" s="14"/>
      <c r="E105" s="14"/>
      <c r="F105" s="14"/>
      <c r="G105" s="1"/>
      <c r="H105" s="1"/>
      <c r="I105" s="1"/>
      <c r="J105" s="1"/>
      <c r="K105" s="1"/>
      <c r="L105" s="1"/>
    </row>
    <row r="106" spans="1:12" ht="15.75" x14ac:dyDescent="0.25">
      <c r="A106" s="21" t="s">
        <v>71</v>
      </c>
      <c r="B106" s="4">
        <f>F98</f>
        <v>-1515950</v>
      </c>
      <c r="C106" s="14"/>
      <c r="D106" s="14"/>
      <c r="E106" s="14"/>
      <c r="F106" s="14"/>
      <c r="G106" s="1"/>
      <c r="H106" s="1"/>
      <c r="I106" s="1"/>
      <c r="J106" s="1"/>
      <c r="K106" s="1"/>
      <c r="L106" s="1"/>
    </row>
  </sheetData>
  <mergeCells count="17">
    <mergeCell ref="B31:C31"/>
    <mergeCell ref="A68:F68"/>
    <mergeCell ref="A87:F87"/>
    <mergeCell ref="A1:F1"/>
    <mergeCell ref="A62:F62"/>
    <mergeCell ref="A42:F42"/>
    <mergeCell ref="A22:F22"/>
    <mergeCell ref="A41:F41"/>
    <mergeCell ref="A35:F35"/>
    <mergeCell ref="A51:F51"/>
    <mergeCell ref="A29:F29"/>
    <mergeCell ref="A14:F14"/>
    <mergeCell ref="A15:F15"/>
    <mergeCell ref="A7:A8"/>
    <mergeCell ref="B7:F7"/>
    <mergeCell ref="A2:F2"/>
    <mergeCell ref="A21:F21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Orçamento</vt:lpstr>
      <vt:lpstr>Orçamento!Area_de_impressao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Henrique</cp:lastModifiedBy>
  <cp:lastPrinted>2026-03-08T19:47:22Z</cp:lastPrinted>
  <dcterms:created xsi:type="dcterms:W3CDTF">2026-03-06T19:35:15Z</dcterms:created>
  <dcterms:modified xsi:type="dcterms:W3CDTF">2026-03-08T19:49:57Z</dcterms:modified>
</cp:coreProperties>
</file>